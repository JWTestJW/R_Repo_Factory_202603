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00.Work\00.GitData\R_Repo_Factory_202603\"/>
    </mc:Choice>
  </mc:AlternateContent>
  <xr:revisionPtr revIDLastSave="0" documentId="13_ncr:1_{2DFDDB9E-4CFA-4675-9D5D-AA4D2463F387}" xr6:coauthVersionLast="47" xr6:coauthVersionMax="47" xr10:uidLastSave="{00000000-0000-0000-0000-000000000000}"/>
  <bookViews>
    <workbookView xWindow="-108" yWindow="-108" windowWidth="23256" windowHeight="12456" xr2:uid="{C9434CED-3E06-4E35-AD4B-02AAE4ABB6B6}"/>
  </bookViews>
  <sheets>
    <sheet name="Prame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H3" i="1" s="1"/>
  <c r="H4" i="1" a="1"/>
  <c r="H4" i="1" s="1"/>
  <c r="H5" i="1" a="1"/>
  <c r="H5" i="1"/>
  <c r="H6" i="1" a="1"/>
  <c r="H6" i="1" s="1"/>
  <c r="H7" i="1" a="1"/>
  <c r="H7" i="1" s="1"/>
  <c r="H8" i="1" a="1"/>
  <c r="H8" i="1"/>
  <c r="H9" i="1" a="1"/>
  <c r="H9" i="1"/>
  <c r="H10" i="1" a="1"/>
  <c r="H10" i="1" s="1"/>
  <c r="H11" i="1" a="1"/>
  <c r="H11" i="1" s="1"/>
  <c r="H12" i="1" a="1"/>
  <c r="H12" i="1"/>
  <c r="H13" i="1" a="1"/>
  <c r="H13" i="1" s="1"/>
  <c r="H2" i="1" a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<sst xmlns="http://schemas.openxmlformats.org/spreadsheetml/2006/main" count="40" uniqueCount="27">
  <si>
    <t>No.</t>
    <phoneticPr fontId="1"/>
  </si>
  <si>
    <t>テンプレートリポジトリ名</t>
    <phoneticPr fontId="1"/>
  </si>
  <si>
    <t>環境</t>
    <phoneticPr fontId="1"/>
  </si>
  <si>
    <t>リポジトリタイプ</t>
    <phoneticPr fontId="1"/>
  </si>
  <si>
    <t>Molecule</t>
    <phoneticPr fontId="1"/>
  </si>
  <si>
    <t>StudyNo</t>
    <phoneticPr fontId="1"/>
  </si>
  <si>
    <t>レポーティングイベント名</t>
    <phoneticPr fontId="1"/>
  </si>
  <si>
    <t>リポジトリ名</t>
    <rPh sb="5" eb="6">
      <t>メイ</t>
    </rPh>
    <phoneticPr fontId="1"/>
  </si>
  <si>
    <t>例１</t>
    <rPh sb="0" eb="1">
      <t>レイ</t>
    </rPh>
    <phoneticPr fontId="1"/>
  </si>
  <si>
    <t>AEGIS_R_template_20260301</t>
    <phoneticPr fontId="1"/>
  </si>
  <si>
    <t>VAL</t>
  </si>
  <si>
    <t>Study</t>
  </si>
  <si>
    <t>RO1234567</t>
    <phoneticPr fontId="1"/>
  </si>
  <si>
    <t>STD-0001</t>
    <phoneticPr fontId="1"/>
  </si>
  <si>
    <t>ReportingEvent-01</t>
    <phoneticPr fontId="1"/>
  </si>
  <si>
    <t>例２</t>
    <rPh sb="0" eb="1">
      <t>レイ</t>
    </rPh>
    <phoneticPr fontId="1"/>
  </si>
  <si>
    <t>Molecule</t>
  </si>
  <si>
    <t>-</t>
    <phoneticPr fontId="1"/>
  </si>
  <si>
    <t>ReportingEvent-02</t>
    <phoneticPr fontId="1"/>
  </si>
  <si>
    <t>DEV</t>
  </si>
  <si>
    <t>PRD</t>
  </si>
  <si>
    <t>RO2234567</t>
    <phoneticPr fontId="1"/>
  </si>
  <si>
    <t>RO3234567</t>
    <phoneticPr fontId="1"/>
  </si>
  <si>
    <t>ReportingEvent-31</t>
    <phoneticPr fontId="1"/>
  </si>
  <si>
    <t>ReportingEvent-32</t>
  </si>
  <si>
    <t>ReportingEvent-33</t>
  </si>
  <si>
    <t>STD-0003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</si>
</sst>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Noto Sans JP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B40D8-21A1-4E34-BC06-5DCCC918DC4B}">
  <dimension ref="A1:H13"/>
  <sheetViews>
    <sheetView tabSelected="1" workbookViewId="0">
      <selection activeCell="B7" sqref="B7"/>
    </sheetView>
  </sheetViews>
  <sheetFormatPr defaultRowHeight="18"/>
  <cols>
    <col min="1" max="1" width="5" style="3" bestFit="1" customWidth="1"/>
    <col min="2" max="2" width="27.19921875" style="7" bestFit="1" customWidth="1"/>
    <col min="3" max="3" width="6.796875" style="7" customWidth="1"/>
    <col min="4" max="4" width="17.3984375" style="7" customWidth="1"/>
    <col min="5" max="5" width="11" style="7" bestFit="1" customWidth="1"/>
    <col min="6" max="6" width="9.69921875" style="7" bestFit="1" customWidth="1"/>
    <col min="7" max="7" width="25.796875" style="7" customWidth="1"/>
    <col min="8" max="8" width="54.09765625" style="7" customWidth="1"/>
    <col min="9" max="16384" width="8.796875" style="7"/>
  </cols>
  <sheetData>
    <row r="1" spans="1:8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4" t="s">
        <v>8</v>
      </c>
      <c r="B2" s="5" t="s">
        <v>9</v>
      </c>
      <c r="C2" s="4" t="s">
        <v>19</v>
      </c>
      <c r="D2" s="4" t="s">
        <v>11</v>
      </c>
      <c r="E2" s="5" t="s">
        <v>12</v>
      </c>
      <c r="F2" s="5" t="s">
        <v>13</v>
      </c>
      <c r="G2" s="5" t="s">
        <v>14</v>
      </c>
      <c r="H2" s="6" t="str" cm="1">
        <f t="array" ref="H2">IF(B2&lt;&gt;"","AEGIS-"&amp;C2&amp;"-"&amp;_xlfn.SWITCH(D2,"Study","S","Molecule","M","?")&amp;"-"&amp;E2&amp;"-"&amp;_xlfn.SWITCH(D2,"Study",F2&amp;"-","Molecule","","?")&amp;G2,"")</f>
        <v>AEGIS-DEV-S-RO1234567-STD-0001-ReportingEvent-01</v>
      </c>
    </row>
    <row r="3" spans="1:8">
      <c r="A3" s="4" t="s">
        <v>15</v>
      </c>
      <c r="B3" s="5" t="s">
        <v>9</v>
      </c>
      <c r="C3" s="4" t="s">
        <v>20</v>
      </c>
      <c r="D3" s="4" t="s">
        <v>16</v>
      </c>
      <c r="E3" s="5" t="s">
        <v>12</v>
      </c>
      <c r="F3" s="5" t="s">
        <v>17</v>
      </c>
      <c r="G3" s="5" t="s">
        <v>18</v>
      </c>
      <c r="H3" s="6" t="str" cm="1">
        <f t="array" ref="H3">IF(B3&lt;&gt;"","AEGIS-"&amp;C3&amp;"-"&amp;_xlfn.SWITCH(D3,"Study","S","Molecule","M","?")&amp;"-"&amp;E3&amp;"-"&amp;_xlfn.SWITCH(D3,"Study",F3&amp;"-","Molecule","","?")&amp;G3,"")</f>
        <v>AEGIS-PRD-M-RO1234567-ReportingEvent-02</v>
      </c>
    </row>
    <row r="4" spans="1:8">
      <c r="A4" s="4">
        <v>1</v>
      </c>
      <c r="B4" s="5" t="s">
        <v>9</v>
      </c>
      <c r="C4" s="4" t="s">
        <v>19</v>
      </c>
      <c r="D4" s="4" t="s">
        <v>11</v>
      </c>
      <c r="E4" s="5" t="s">
        <v>12</v>
      </c>
      <c r="F4" s="5" t="s">
        <v>13</v>
      </c>
      <c r="G4" s="5" t="s">
        <v>23</v>
      </c>
      <c r="H4" s="6" t="str" cm="1">
        <f t="array" ref="H4">IF(B4&lt;&gt;"","AEGIS-"&amp;C4&amp;"-"&amp;_xlfn.SWITCH(D4,"Study","S","Molecule","M","?")&amp;"-"&amp;E4&amp;"-"&amp;_xlfn.SWITCH(D4,"Study",F4&amp;"-","Molecule","","?")&amp;G4,"")</f>
        <v>AEGIS-DEV-S-RO1234567-STD-0001-ReportingEvent-31</v>
      </c>
    </row>
    <row r="5" spans="1:8">
      <c r="A5" s="4">
        <v>2</v>
      </c>
      <c r="B5" s="5" t="s">
        <v>9</v>
      </c>
      <c r="C5" s="4" t="s">
        <v>10</v>
      </c>
      <c r="D5" s="4" t="s">
        <v>16</v>
      </c>
      <c r="E5" s="5" t="s">
        <v>21</v>
      </c>
      <c r="F5" s="5" t="s">
        <v>17</v>
      </c>
      <c r="G5" s="5" t="s">
        <v>24</v>
      </c>
      <c r="H5" s="6" t="str" cm="1">
        <f t="array" ref="H5">IF(B5&lt;&gt;"","AEGIS-"&amp;C5&amp;"-"&amp;_xlfn.SWITCH(D5,"Study","S","Molecule","M","?")&amp;"-"&amp;E5&amp;"-"&amp;_xlfn.SWITCH(D5,"Study",F5&amp;"-","Molecule","","?")&amp;G5,"")</f>
        <v>AEGIS-VAL-M-RO2234567-ReportingEvent-32</v>
      </c>
    </row>
    <row r="6" spans="1:8">
      <c r="A6" s="4">
        <v>3</v>
      </c>
      <c r="B6" s="5" t="s">
        <v>9</v>
      </c>
      <c r="C6" s="4" t="s">
        <v>20</v>
      </c>
      <c r="D6" s="4" t="s">
        <v>11</v>
      </c>
      <c r="E6" s="5" t="s">
        <v>22</v>
      </c>
      <c r="F6" s="5" t="s">
        <v>26</v>
      </c>
      <c r="G6" s="5" t="s">
        <v>25</v>
      </c>
      <c r="H6" s="6" t="str" cm="1">
        <f t="array" ref="H6">IF(B6&lt;&gt;"","AEGIS-"&amp;C6&amp;"-"&amp;_xlfn.SWITCH(D6,"Study","S","Molecule","M","?")&amp;"-"&amp;E6&amp;"-"&amp;_xlfn.SWITCH(D6,"Study",F6&amp;"-","Molecule","","?")&amp;G6,"")</f>
        <v>AEGIS-PRD-S-RO3234567-STD-0003-ReportingEvent-33</v>
      </c>
    </row>
    <row r="7" spans="1:8">
      <c r="A7" s="4">
        <v>4</v>
      </c>
      <c r="B7" s="5"/>
      <c r="C7" s="4"/>
      <c r="D7" s="4"/>
      <c r="E7" s="8"/>
      <c r="F7" s="5"/>
      <c r="G7" s="5"/>
      <c r="H7" s="6" t="str" cm="1">
        <f t="array" ref="H7">IF(B7&lt;&gt;"","AEGIS-"&amp;C7&amp;"-"&amp;_xlfn.SWITCH(D7,"Study","S","Molecule","M","?")&amp;"-"&amp;E7&amp;"-"&amp;_xlfn.SWITCH(D7,"Study",F7&amp;"-","Molecule","","?")&amp;G7,"")</f>
        <v/>
      </c>
    </row>
    <row r="8" spans="1:8">
      <c r="A8" s="4">
        <v>5</v>
      </c>
      <c r="B8" s="5"/>
      <c r="C8" s="4"/>
      <c r="D8" s="4"/>
      <c r="E8" s="5"/>
      <c r="F8" s="5"/>
      <c r="G8" s="5"/>
      <c r="H8" s="6" t="str" cm="1">
        <f t="array" ref="H8">IF(B8&lt;&gt;"","AEGIS-"&amp;C8&amp;"-"&amp;_xlfn.SWITCH(D8,"Study","S","Molecule","M","?")&amp;"-"&amp;E8&amp;"-"&amp;_xlfn.SWITCH(D8,"Study",F8&amp;"-","Molecule","","?")&amp;G8,"")</f>
        <v/>
      </c>
    </row>
    <row r="9" spans="1:8">
      <c r="A9" s="4">
        <v>6</v>
      </c>
      <c r="B9" s="5"/>
      <c r="C9" s="4"/>
      <c r="D9" s="4"/>
      <c r="E9" s="5"/>
      <c r="F9" s="5"/>
      <c r="G9" s="5"/>
      <c r="H9" s="6" t="str" cm="1">
        <f t="array" ref="H9">IF(B9&lt;&gt;"","AEGIS-"&amp;C9&amp;"-"&amp;_xlfn.SWITCH(D9,"Study","S","Molecule","M","?")&amp;"-"&amp;E9&amp;"-"&amp;_xlfn.SWITCH(D9,"Study",F9&amp;"-","Molecule","","?")&amp;G9,"")</f>
        <v/>
      </c>
    </row>
    <row r="10" spans="1:8">
      <c r="A10" s="4">
        <v>7</v>
      </c>
      <c r="B10" s="5"/>
      <c r="C10" s="4"/>
      <c r="D10" s="4"/>
      <c r="E10" s="5"/>
      <c r="F10" s="5"/>
      <c r="G10" s="5"/>
      <c r="H10" s="6" t="str" cm="1">
        <f t="array" ref="H10">IF(B10&lt;&gt;"","AEGIS-"&amp;C10&amp;"-"&amp;_xlfn.SWITCH(D10,"Study","S","Molecule","M","?")&amp;"-"&amp;E10&amp;"-"&amp;_xlfn.SWITCH(D10,"Study",F10&amp;"-","Molecule","","?")&amp;G10,"")</f>
        <v/>
      </c>
    </row>
    <row r="11" spans="1:8">
      <c r="A11" s="4">
        <v>8</v>
      </c>
      <c r="B11" s="5"/>
      <c r="C11" s="4"/>
      <c r="D11" s="4"/>
      <c r="E11" s="5"/>
      <c r="F11" s="5"/>
      <c r="G11" s="5"/>
      <c r="H11" s="6" t="str" cm="1">
        <f t="array" ref="H11">IF(B11&lt;&gt;"","AEGIS-"&amp;C11&amp;"-"&amp;_xlfn.SWITCH(D11,"Study","S","Molecule","M","?")&amp;"-"&amp;E11&amp;"-"&amp;_xlfn.SWITCH(D11,"Study",F11&amp;"-","Molecule","","?")&amp;G11,"")</f>
        <v/>
      </c>
    </row>
    <row r="12" spans="1:8">
      <c r="A12" s="4">
        <v>9</v>
      </c>
      <c r="B12" s="5"/>
      <c r="C12" s="4"/>
      <c r="D12" s="4"/>
      <c r="E12" s="5"/>
      <c r="F12" s="5"/>
      <c r="G12" s="5"/>
      <c r="H12" s="6" t="str" cm="1">
        <f t="array" ref="H12">IF(B12&lt;&gt;"","AEGIS-"&amp;C12&amp;"-"&amp;_xlfn.SWITCH(D12,"Study","S","Molecule","M","?")&amp;"-"&amp;E12&amp;"-"&amp;_xlfn.SWITCH(D12,"Study",F12&amp;"-","Molecule","","?")&amp;G12,"")</f>
        <v/>
      </c>
    </row>
    <row r="13" spans="1:8">
      <c r="A13" s="4">
        <v>10</v>
      </c>
      <c r="B13" s="5"/>
      <c r="C13" s="4"/>
      <c r="D13" s="4"/>
      <c r="E13" s="5"/>
      <c r="F13" s="5"/>
      <c r="G13" s="5"/>
      <c r="H13" s="6" t="str" cm="1">
        <f t="array" ref="H13">IF(B13&lt;&gt;"","AEGIS-"&amp;C13&amp;"-"&amp;_xlfn.SWITCH(D13,"Study","S","Molecule","M","?")&amp;"-"&amp;E13&amp;"-"&amp;_xlfn.SWITCH(D13,"Study",F13&amp;"-","Molecule","","?")&amp;G13,"")</f>
        <v/>
      </c>
    </row>
  </sheetData>
  <phoneticPr fontId="1"/>
  <dataValidations count="2">
    <dataValidation type="list" allowBlank="1" showInputMessage="1" showErrorMessage="1" sqref="D2:D13" xr:uid="{35C07478-DE65-400D-B0B8-792D5EAEE68A}">
      <formula1>"Study,Molecule"</formula1>
    </dataValidation>
    <dataValidation type="list" allowBlank="1" showInputMessage="1" showErrorMessage="1" sqref="C2:C13" xr:uid="{20E43A10-922E-438D-8C71-F4F5DC34054A}">
      <formula1>"DEV,VAL,PRD"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Wei</dc:creator>
  <cp:lastModifiedBy>Jiang, Wei</cp:lastModifiedBy>
  <dcterms:created xsi:type="dcterms:W3CDTF">2026-03-10T09:09:20Z</dcterms:created>
  <dcterms:modified xsi:type="dcterms:W3CDTF">2026-03-12T09:19:29Z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2026-03-10T09:10:04Z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58dbc0b2-9601-4afd-b8d7-0b3368ce8fec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